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7c6f1e4588420a/Documentos/"/>
    </mc:Choice>
  </mc:AlternateContent>
  <xr:revisionPtr revIDLastSave="303" documentId="8_{889A7C22-F934-47D6-AF2F-A3C866D1D3D0}" xr6:coauthVersionLast="47" xr6:coauthVersionMax="47" xr10:uidLastSave="{648E42BC-EFC0-1C43-9B12-E1834C897471}"/>
  <bookViews>
    <workbookView xWindow="-120" yWindow="-120" windowWidth="20730" windowHeight="11160" xr2:uid="{190FBC10-1861-494D-86E5-B46C01729EAB}"/>
  </bookViews>
  <sheets>
    <sheet name="Invest" sheetId="2" r:id="rId1"/>
    <sheet name="Base" sheetId="3" r:id="rId2"/>
  </sheets>
  <definedNames>
    <definedName name="Aporte">Invest!$C$11</definedName>
    <definedName name="Patrimonio">Invest!$C$14</definedName>
    <definedName name="quant_anos">Invest!$C$12</definedName>
    <definedName name="Rendimento_carteira">Invest!$G$13</definedName>
    <definedName name="Salário">Invest!$G$12</definedName>
    <definedName name="Taxa_mensal">Invest!$C$13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5" i="2"/>
  <c r="G14" i="2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C31" i="2"/>
  <c r="C32" i="2"/>
  <c r="C33" i="2"/>
  <c r="C34" i="2"/>
  <c r="C35" i="2"/>
  <c r="C30" i="2"/>
  <c r="I5" i="3"/>
  <c r="C19" i="2"/>
  <c r="D19" i="2"/>
  <c r="C27" i="2"/>
  <c r="D30" i="2"/>
  <c r="D31" i="2"/>
  <c r="D32" i="2"/>
  <c r="D33" i="2"/>
  <c r="D34" i="2"/>
  <c r="D35" i="2"/>
  <c r="D36" i="2"/>
  <c r="C20" i="2"/>
  <c r="D20" i="2"/>
  <c r="C21" i="2"/>
  <c r="D21" i="2"/>
  <c r="C22" i="2"/>
  <c r="D22" i="2"/>
  <c r="C23" i="2"/>
  <c r="D23" i="2"/>
</calcChain>
</file>

<file path=xl/sharedStrings.xml><?xml version="1.0" encoding="utf-8"?>
<sst xmlns="http://schemas.openxmlformats.org/spreadsheetml/2006/main" count="71" uniqueCount="36">
  <si>
    <t>Quanto investir por mês?</t>
  </si>
  <si>
    <t>Por quantos anos?</t>
  </si>
  <si>
    <t>Taxa de rendimento real?</t>
  </si>
  <si>
    <t>Patrimônio acumulado?</t>
  </si>
  <si>
    <t>Dividendos mensais?</t>
  </si>
  <si>
    <t>Quanto em 2 anos?</t>
  </si>
  <si>
    <t>Quanto em 5 anos?</t>
  </si>
  <si>
    <t>Quanto em 30 anos?</t>
  </si>
  <si>
    <t>Cenários</t>
  </si>
  <si>
    <t>Dividendos</t>
  </si>
  <si>
    <t>Quanto em 20 anos?</t>
  </si>
  <si>
    <t>Quanto em 10 anos?</t>
  </si>
  <si>
    <t>Configurações</t>
  </si>
  <si>
    <t>Rendimento da carteira</t>
  </si>
  <si>
    <t>Salário</t>
  </si>
  <si>
    <t>Conservador</t>
  </si>
  <si>
    <t>Valor a ser investido por mês</t>
  </si>
  <si>
    <t>Tipo de FII</t>
  </si>
  <si>
    <t>Percentual sugerido</t>
  </si>
  <si>
    <t>Valores</t>
  </si>
  <si>
    <t>PERFIL</t>
  </si>
  <si>
    <t>Papel</t>
  </si>
  <si>
    <t>Tijolo</t>
  </si>
  <si>
    <t>Híbridos</t>
  </si>
  <si>
    <t>FOFs</t>
  </si>
  <si>
    <t>Desenvolvimento</t>
  </si>
  <si>
    <t>Hotelarias</t>
  </si>
  <si>
    <t>Planilha de investimento</t>
  </si>
  <si>
    <t>TIPO DE FII</t>
  </si>
  <si>
    <t>PERCENTUAL</t>
  </si>
  <si>
    <t>CHAVE</t>
  </si>
  <si>
    <t>Moderado</t>
  </si>
  <si>
    <t>Agressivo</t>
  </si>
  <si>
    <t>Moderado-Tijolo</t>
  </si>
  <si>
    <t>Sugestão de investimento (30%)</t>
  </si>
  <si>
    <t xml:space="preserve">Horizonte Invest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</si>
</sst>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72"/>
      <color theme="4" tint="0.79998168889431442"/>
      <name val="Harlow Solid Italic"/>
      <family val="5"/>
    </font>
    <font>
      <sz val="16"/>
      <color theme="9" tint="-0.499984740745262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sz val="28"/>
      <color theme="4" tint="-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4" borderId="0" applyNumberFormat="0" applyBorder="0" applyAlignment="0" applyProtection="0"/>
  </cellStyleXfs>
  <cellXfs count="37">
    <xf numFmtId="0" fontId="0" fillId="0" borderId="0" xfId="0"/>
    <xf numFmtId="0" fontId="0" fillId="3" borderId="0" xfId="0" applyFill="1"/>
    <xf numFmtId="0" fontId="0" fillId="2" borderId="0" xfId="0" applyFill="1"/>
    <xf numFmtId="9" fontId="0" fillId="0" borderId="0" xfId="0" applyNumberFormat="1" applyAlignment="1">
      <alignment horizontal="center"/>
    </xf>
    <xf numFmtId="0" fontId="0" fillId="0" borderId="6" xfId="0" applyBorder="1"/>
    <xf numFmtId="9" fontId="0" fillId="0" borderId="6" xfId="0" applyNumberFormat="1" applyBorder="1" applyAlignment="1">
      <alignment horizontal="center"/>
    </xf>
    <xf numFmtId="0" fontId="3" fillId="4" borderId="5" xfId="3" applyBorder="1"/>
    <xf numFmtId="9" fontId="0" fillId="0" borderId="0" xfId="2" applyFont="1"/>
    <xf numFmtId="9" fontId="3" fillId="4" borderId="5" xfId="2" applyFont="1" applyFill="1" applyBorder="1"/>
    <xf numFmtId="0" fontId="4" fillId="0" borderId="0" xfId="0" applyFont="1"/>
    <xf numFmtId="0" fontId="7" fillId="3" borderId="3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/>
    <xf numFmtId="0" fontId="7" fillId="3" borderId="0" xfId="0" applyFont="1" applyFill="1"/>
    <xf numFmtId="0" fontId="2" fillId="0" borderId="1" xfId="0" applyFont="1" applyBorder="1"/>
    <xf numFmtId="0" fontId="2" fillId="2" borderId="1" xfId="0" applyFont="1" applyFill="1" applyBorder="1"/>
    <xf numFmtId="0" fontId="2" fillId="2" borderId="0" xfId="0" applyFont="1" applyFill="1"/>
    <xf numFmtId="0" fontId="2" fillId="0" borderId="0" xfId="0" applyFont="1"/>
    <xf numFmtId="0" fontId="2" fillId="2" borderId="2" xfId="0" applyFont="1" applyFill="1" applyBorder="1"/>
    <xf numFmtId="166" fontId="10" fillId="0" borderId="1" xfId="1" applyNumberFormat="1" applyFont="1" applyBorder="1"/>
    <xf numFmtId="10" fontId="10" fillId="0" borderId="1" xfId="0" applyNumberFormat="1" applyFont="1" applyBorder="1"/>
    <xf numFmtId="166" fontId="10" fillId="0" borderId="1" xfId="0" applyNumberFormat="1" applyFont="1" applyBorder="1"/>
    <xf numFmtId="166" fontId="10" fillId="2" borderId="2" xfId="0" applyNumberFormat="1" applyFont="1" applyFill="1" applyBorder="1"/>
    <xf numFmtId="166" fontId="10" fillId="2" borderId="1" xfId="0" applyNumberFormat="1" applyFont="1" applyFill="1" applyBorder="1"/>
    <xf numFmtId="166" fontId="5" fillId="2" borderId="0" xfId="0" applyNumberFormat="1" applyFont="1" applyFill="1" applyAlignment="1">
      <alignment horizontal="center"/>
    </xf>
    <xf numFmtId="9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2" borderId="0" xfId="0" applyFont="1" applyFill="1"/>
    <xf numFmtId="0" fontId="6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6" fontId="10" fillId="0" borderId="1" xfId="1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93C3-5753-41D8-9E5C-35F18BEBD263}">
  <sheetPr>
    <tabColor theme="6" tint="0.79998168889431442"/>
  </sheetPr>
  <dimension ref="A2:H44"/>
  <sheetViews>
    <sheetView showGridLines="0" tabSelected="1" workbookViewId="0">
      <selection activeCell="D66" sqref="D66"/>
    </sheetView>
  </sheetViews>
  <sheetFormatPr defaultColWidth="0" defaultRowHeight="15" x14ac:dyDescent="0.2"/>
  <cols>
    <col min="1" max="1" width="9.14453125" customWidth="1"/>
    <col min="2" max="2" width="53.94140625" customWidth="1"/>
    <col min="3" max="3" width="24.75" customWidth="1"/>
    <col min="4" max="4" width="16.8125" customWidth="1"/>
    <col min="5" max="5" width="6.1875" customWidth="1"/>
    <col min="6" max="6" width="34.70703125" bestFit="1" customWidth="1"/>
    <col min="7" max="7" width="18.0234375" customWidth="1"/>
    <col min="8" max="8" width="10.22265625" customWidth="1"/>
    <col min="9" max="10" width="9.14453125" hidden="1" customWidth="1"/>
    <col min="11" max="16384" width="9.14453125" hidden="1"/>
  </cols>
  <sheetData>
    <row r="2" spans="2:7" x14ac:dyDescent="0.2">
      <c r="B2" s="28" t="s">
        <v>35</v>
      </c>
      <c r="C2" s="28"/>
      <c r="D2" s="28"/>
      <c r="E2" s="28"/>
      <c r="F2" s="28"/>
      <c r="G2" s="28"/>
    </row>
    <row r="3" spans="2:7" x14ac:dyDescent="0.2">
      <c r="B3" s="28"/>
      <c r="C3" s="28"/>
      <c r="D3" s="28"/>
      <c r="E3" s="28"/>
      <c r="F3" s="28"/>
      <c r="G3" s="28"/>
    </row>
    <row r="4" spans="2:7" x14ac:dyDescent="0.2">
      <c r="B4" s="28"/>
      <c r="C4" s="28"/>
      <c r="D4" s="28"/>
      <c r="E4" s="28"/>
      <c r="F4" s="28"/>
      <c r="G4" s="28"/>
    </row>
    <row r="5" spans="2:7" x14ac:dyDescent="0.2">
      <c r="B5" s="28"/>
      <c r="C5" s="28"/>
      <c r="D5" s="28"/>
      <c r="E5" s="28"/>
      <c r="F5" s="28"/>
      <c r="G5" s="28"/>
    </row>
    <row r="6" spans="2:7" x14ac:dyDescent="0.2">
      <c r="B6" s="28"/>
      <c r="C6" s="28"/>
      <c r="D6" s="28"/>
      <c r="E6" s="28"/>
      <c r="F6" s="28"/>
      <c r="G6" s="28"/>
    </row>
    <row r="7" spans="2:7" x14ac:dyDescent="0.2">
      <c r="B7" s="28"/>
      <c r="C7" s="28"/>
      <c r="D7" s="28"/>
      <c r="E7" s="28"/>
      <c r="F7" s="28"/>
      <c r="G7" s="28"/>
    </row>
    <row r="10" spans="2:7" ht="18.75" customHeight="1" x14ac:dyDescent="0.3">
      <c r="B10" s="32" t="s">
        <v>27</v>
      </c>
      <c r="C10" s="32"/>
      <c r="D10" s="32"/>
      <c r="F10" s="29" t="s">
        <v>12</v>
      </c>
      <c r="G10" s="29"/>
    </row>
    <row r="11" spans="2:7" ht="24.75" customHeight="1" x14ac:dyDescent="0.25">
      <c r="B11" s="14" t="s">
        <v>0</v>
      </c>
      <c r="C11" s="33">
        <v>500</v>
      </c>
      <c r="D11" s="33"/>
      <c r="F11" s="30"/>
      <c r="G11" s="30"/>
    </row>
    <row r="12" spans="2:7" ht="18.75" x14ac:dyDescent="0.25">
      <c r="B12" s="14" t="s">
        <v>1</v>
      </c>
      <c r="C12" s="34">
        <v>5</v>
      </c>
      <c r="D12" s="34"/>
      <c r="F12" s="15" t="s">
        <v>14</v>
      </c>
      <c r="G12" s="19">
        <v>5000</v>
      </c>
    </row>
    <row r="13" spans="2:7" ht="18.75" x14ac:dyDescent="0.25">
      <c r="B13" s="14" t="s">
        <v>2</v>
      </c>
      <c r="C13" s="35">
        <v>1.0789999999999999E-2</v>
      </c>
      <c r="D13" s="35"/>
      <c r="F13" s="15" t="s">
        <v>13</v>
      </c>
      <c r="G13" s="20">
        <v>9.0100000000000006E-3</v>
      </c>
    </row>
    <row r="14" spans="2:7" ht="18.75" x14ac:dyDescent="0.25">
      <c r="B14" s="15" t="s">
        <v>3</v>
      </c>
      <c r="C14" s="36">
        <f>FV(Taxa_mensal,quant_anos*12,Aporte*-1)</f>
        <v>41888.456999243819</v>
      </c>
      <c r="D14" s="36"/>
      <c r="F14" s="15" t="s">
        <v>34</v>
      </c>
      <c r="G14" s="21">
        <f>G12*30%</f>
        <v>1500</v>
      </c>
    </row>
    <row r="15" spans="2:7" ht="18.75" x14ac:dyDescent="0.25">
      <c r="B15" s="15" t="s">
        <v>4</v>
      </c>
      <c r="C15" s="36">
        <f>C14*$G$13</f>
        <v>377.41499756318683</v>
      </c>
      <c r="D15" s="36"/>
    </row>
    <row r="18" spans="1:4" ht="21" x14ac:dyDescent="0.3">
      <c r="B18" s="31" t="s">
        <v>8</v>
      </c>
      <c r="C18" s="31"/>
      <c r="D18" s="10" t="s">
        <v>9</v>
      </c>
    </row>
    <row r="19" spans="1:4" ht="18.75" x14ac:dyDescent="0.25">
      <c r="A19" s="9">
        <v>2</v>
      </c>
      <c r="B19" s="18" t="s">
        <v>5</v>
      </c>
      <c r="C19" s="22">
        <f>FV($C$13,$A19*12,$C$11*-1)</f>
        <v>13613.813648822608</v>
      </c>
      <c r="D19" s="22">
        <f>C19*Rendimento_carteira</f>
        <v>122.66046097589171</v>
      </c>
    </row>
    <row r="20" spans="1:4" ht="18.75" x14ac:dyDescent="0.25">
      <c r="A20" s="9">
        <v>2</v>
      </c>
      <c r="B20" s="15" t="s">
        <v>6</v>
      </c>
      <c r="C20" s="23">
        <f>FV($C$13,$A20*12,$C$11*-1)</f>
        <v>13613.813648822608</v>
      </c>
      <c r="D20" s="22">
        <f>C20*Rendimento_carteira</f>
        <v>122.66046097589171</v>
      </c>
    </row>
    <row r="21" spans="1:4" ht="18.75" x14ac:dyDescent="0.25">
      <c r="A21" s="9">
        <v>2</v>
      </c>
      <c r="B21" s="15" t="s">
        <v>11</v>
      </c>
      <c r="C21" s="23">
        <f>FV($C$13,$A21*12,$C$11*-1)</f>
        <v>13613.813648822608</v>
      </c>
      <c r="D21" s="22">
        <f>C21*Rendimento_carteira</f>
        <v>122.66046097589171</v>
      </c>
    </row>
    <row r="22" spans="1:4" ht="18.75" x14ac:dyDescent="0.25">
      <c r="A22" s="9">
        <v>2</v>
      </c>
      <c r="B22" s="15" t="s">
        <v>10</v>
      </c>
      <c r="C22" s="23">
        <f>FV($C$13,$A22*12,$C$11*-1)</f>
        <v>13613.813648822608</v>
      </c>
      <c r="D22" s="22">
        <f>C22*Rendimento_carteira</f>
        <v>122.66046097589171</v>
      </c>
    </row>
    <row r="23" spans="1:4" ht="18.75" x14ac:dyDescent="0.25">
      <c r="A23" s="9">
        <v>2</v>
      </c>
      <c r="B23" s="15" t="s">
        <v>7</v>
      </c>
      <c r="C23" s="23">
        <f>FV($C$13,$A23*12,$C$11*-1)</f>
        <v>13613.813648822608</v>
      </c>
      <c r="D23" s="22">
        <f>C23*Rendimento_carteira</f>
        <v>122.66046097589171</v>
      </c>
    </row>
    <row r="26" spans="1:4" ht="21" x14ac:dyDescent="0.3">
      <c r="B26" s="12" t="s">
        <v>20</v>
      </c>
      <c r="C26" s="11" t="s">
        <v>31</v>
      </c>
      <c r="D26" s="1"/>
    </row>
    <row r="27" spans="1:4" ht="18.75" x14ac:dyDescent="0.25">
      <c r="B27" s="16" t="s">
        <v>16</v>
      </c>
      <c r="C27" s="24">
        <f>Aporte</f>
        <v>500</v>
      </c>
      <c r="D27" s="2"/>
    </row>
    <row r="29" spans="1:4" ht="21" x14ac:dyDescent="0.3">
      <c r="B29" s="12" t="s">
        <v>17</v>
      </c>
      <c r="C29" s="13" t="s">
        <v>18</v>
      </c>
      <c r="D29" s="11" t="s">
        <v>19</v>
      </c>
    </row>
    <row r="30" spans="1:4" ht="18.75" x14ac:dyDescent="0.25">
      <c r="B30" s="17" t="s">
        <v>21</v>
      </c>
      <c r="C30" s="25">
        <f>VLOOKUP($C$26&amp;"-"&amp;B30,Base!$A$4:$D$22,3,FALSE)</f>
        <v>0.32</v>
      </c>
      <c r="D30" s="26">
        <f>C30*$C$27</f>
        <v>160</v>
      </c>
    </row>
    <row r="31" spans="1:4" ht="18.75" x14ac:dyDescent="0.25">
      <c r="B31" s="17" t="s">
        <v>22</v>
      </c>
      <c r="C31" s="25">
        <f>VLOOKUP($C$26&amp;"-"&amp;B31,Base!$A$4:$D$22,3,FALSE)</f>
        <v>0.35</v>
      </c>
      <c r="D31" s="26">
        <f t="shared" ref="D31:D35" si="0">C31*$C$27</f>
        <v>175</v>
      </c>
    </row>
    <row r="32" spans="1:4" ht="18.75" x14ac:dyDescent="0.25">
      <c r="B32" s="17" t="s">
        <v>23</v>
      </c>
      <c r="C32" s="25">
        <f>VLOOKUP($C$26&amp;"-"&amp;B32,Base!$A$4:$D$22,3,FALSE)</f>
        <v>0.08</v>
      </c>
      <c r="D32" s="26">
        <f t="shared" si="0"/>
        <v>40</v>
      </c>
    </row>
    <row r="33" spans="2:4" ht="18.75" x14ac:dyDescent="0.25">
      <c r="B33" s="17" t="s">
        <v>24</v>
      </c>
      <c r="C33" s="25">
        <f>VLOOKUP($C$26&amp;"-"&amp;B33,Base!$A$4:$D$22,3,FALSE)</f>
        <v>0.05</v>
      </c>
      <c r="D33" s="26">
        <f t="shared" si="0"/>
        <v>25</v>
      </c>
    </row>
    <row r="34" spans="2:4" ht="18.75" x14ac:dyDescent="0.25">
      <c r="B34" s="17" t="s">
        <v>25</v>
      </c>
      <c r="C34" s="25">
        <f>VLOOKUP($C$26&amp;"-"&amp;B34,Base!$A$4:$D$22,3,FALSE)</f>
        <v>0.1</v>
      </c>
      <c r="D34" s="26">
        <f t="shared" si="0"/>
        <v>50</v>
      </c>
    </row>
    <row r="35" spans="2:4" ht="18.75" x14ac:dyDescent="0.25">
      <c r="B35" s="17" t="s">
        <v>26</v>
      </c>
      <c r="C35" s="25">
        <f>VLOOKUP($C$26&amp;"-"&amp;B35,Base!$A$4:$D$22,3,FALSE)</f>
        <v>0.1</v>
      </c>
      <c r="D35" s="26">
        <f t="shared" si="0"/>
        <v>50</v>
      </c>
    </row>
    <row r="36" spans="2:4" ht="16.5" x14ac:dyDescent="0.25">
      <c r="B36" s="2"/>
      <c r="C36" s="27"/>
      <c r="D36" s="24">
        <f>SUM(D30:D35)</f>
        <v>500</v>
      </c>
    </row>
    <row r="44" spans="2:4" ht="9.75" customHeight="1" x14ac:dyDescent="0.2"/>
  </sheetData>
  <mergeCells count="9">
    <mergeCell ref="B2:G7"/>
    <mergeCell ref="F10:G11"/>
    <mergeCell ref="B18:C18"/>
    <mergeCell ref="B10:D10"/>
    <mergeCell ref="C11:D11"/>
    <mergeCell ref="C12:D12"/>
    <mergeCell ref="C13:D13"/>
    <mergeCell ref="C14:D14"/>
    <mergeCell ref="C15:D15"/>
  </mergeCells>
  <dataValidations count="1">
    <dataValidation type="list" allowBlank="1" showInputMessage="1" showErrorMessage="1" sqref="C26" xr:uid="{7912CDE0-8D07-4A72-88C3-0C25A13C69BD}">
      <formula1>"Conservador,Moderado,Agressivo"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8EEB-ACE9-432C-B7A7-DBCD9B81C99A}">
  <sheetPr>
    <tabColor theme="4" tint="0.59999389629810485"/>
  </sheetPr>
  <dimension ref="A4:I22"/>
  <sheetViews>
    <sheetView workbookViewId="0">
      <selection activeCell="B5" sqref="B5:B10"/>
    </sheetView>
  </sheetViews>
  <sheetFormatPr defaultRowHeight="15" x14ac:dyDescent="0.2"/>
  <cols>
    <col min="1" max="1" width="6.859375" bestFit="1" customWidth="1"/>
    <col min="2" max="2" width="16.140625" bestFit="1" customWidth="1"/>
    <col min="3" max="3" width="12.23828125" bestFit="1" customWidth="1"/>
    <col min="4" max="4" width="12.10546875" customWidth="1"/>
    <col min="7" max="7" width="12.375" customWidth="1"/>
    <col min="8" max="8" width="14.52734375" bestFit="1" customWidth="1"/>
  </cols>
  <sheetData>
    <row r="4" spans="1:9" x14ac:dyDescent="0.2">
      <c r="A4" s="1" t="s">
        <v>30</v>
      </c>
      <c r="B4" s="1" t="s">
        <v>28</v>
      </c>
      <c r="C4" s="1" t="s">
        <v>29</v>
      </c>
      <c r="D4" s="1" t="s">
        <v>20</v>
      </c>
    </row>
    <row r="5" spans="1:9" x14ac:dyDescent="0.2">
      <c r="A5" t="str">
        <f>D5&amp;"-"&amp;B5</f>
        <v>Conservador-Papel</v>
      </c>
      <c r="B5" t="s">
        <v>21</v>
      </c>
      <c r="C5" s="3">
        <v>0.3</v>
      </c>
      <c r="D5" t="s">
        <v>15</v>
      </c>
      <c r="H5" s="6" t="s">
        <v>33</v>
      </c>
      <c r="I5" s="8">
        <f>VLOOKUP(H5,$A$4:$D$22,3,FALSE)</f>
        <v>0.35</v>
      </c>
    </row>
    <row r="6" spans="1:9" x14ac:dyDescent="0.2">
      <c r="A6" t="str">
        <f>D6&amp;"-"&amp;B6</f>
        <v>Conservador-Tijolo</v>
      </c>
      <c r="B6" t="s">
        <v>22</v>
      </c>
      <c r="C6" s="3">
        <v>0.5</v>
      </c>
      <c r="D6" t="s">
        <v>15</v>
      </c>
      <c r="I6" s="7"/>
    </row>
    <row r="7" spans="1:9" x14ac:dyDescent="0.2">
      <c r="A7" t="str">
        <f>D7&amp;"-"&amp;B7</f>
        <v>Conservador-Híbridos</v>
      </c>
      <c r="B7" t="s">
        <v>23</v>
      </c>
      <c r="C7" s="3">
        <v>0.1</v>
      </c>
      <c r="D7" t="s">
        <v>15</v>
      </c>
    </row>
    <row r="8" spans="1:9" x14ac:dyDescent="0.2">
      <c r="A8" t="str">
        <f>D8&amp;"-"&amp;B8</f>
        <v>Conservador-FOFs</v>
      </c>
      <c r="B8" t="s">
        <v>24</v>
      </c>
      <c r="C8" s="3">
        <v>0.1</v>
      </c>
      <c r="D8" t="s">
        <v>15</v>
      </c>
    </row>
    <row r="9" spans="1:9" x14ac:dyDescent="0.2">
      <c r="A9" t="str">
        <f>D9&amp;"-"&amp;B9</f>
        <v>Conservador-Desenvolvimento</v>
      </c>
      <c r="B9" t="s">
        <v>25</v>
      </c>
      <c r="C9" s="3">
        <v>0</v>
      </c>
      <c r="D9" t="s">
        <v>15</v>
      </c>
    </row>
    <row r="10" spans="1:9" ht="15.75" thickBot="1" x14ac:dyDescent="0.25">
      <c r="A10" s="4" t="str">
        <f>D10&amp;"-"&amp;B10</f>
        <v>Conservador-Hotelarias</v>
      </c>
      <c r="B10" s="4" t="s">
        <v>26</v>
      </c>
      <c r="C10" s="5">
        <v>0</v>
      </c>
      <c r="D10" s="4" t="s">
        <v>15</v>
      </c>
    </row>
    <row r="11" spans="1:9" x14ac:dyDescent="0.2">
      <c r="A11" t="str">
        <f>D11&amp;"-"&amp;B11</f>
        <v>Moderado-Papel</v>
      </c>
      <c r="B11" t="s">
        <v>21</v>
      </c>
      <c r="C11" s="3">
        <v>0.32</v>
      </c>
      <c r="D11" t="s">
        <v>31</v>
      </c>
    </row>
    <row r="12" spans="1:9" x14ac:dyDescent="0.2">
      <c r="A12" t="str">
        <f>D12&amp;"-"&amp;B12</f>
        <v>Moderado-Tijolo</v>
      </c>
      <c r="B12" t="s">
        <v>22</v>
      </c>
      <c r="C12" s="3">
        <v>0.35</v>
      </c>
      <c r="D12" t="s">
        <v>31</v>
      </c>
    </row>
    <row r="13" spans="1:9" x14ac:dyDescent="0.2">
      <c r="A13" t="str">
        <f>D13&amp;"-"&amp;B13</f>
        <v>Moderado-Híbridos</v>
      </c>
      <c r="B13" t="s">
        <v>23</v>
      </c>
      <c r="C13" s="3">
        <v>0.08</v>
      </c>
      <c r="D13" t="s">
        <v>31</v>
      </c>
    </row>
    <row r="14" spans="1:9" x14ac:dyDescent="0.2">
      <c r="A14" t="str">
        <f>D14&amp;"-"&amp;B14</f>
        <v>Moderado-FOFs</v>
      </c>
      <c r="B14" t="s">
        <v>24</v>
      </c>
      <c r="C14" s="3">
        <v>0.05</v>
      </c>
      <c r="D14" t="s">
        <v>31</v>
      </c>
    </row>
    <row r="15" spans="1:9" x14ac:dyDescent="0.2">
      <c r="A15" t="str">
        <f>D15&amp;"-"&amp;B15</f>
        <v>Moderado-Desenvolvimento</v>
      </c>
      <c r="B15" t="s">
        <v>25</v>
      </c>
      <c r="C15" s="3">
        <v>0.1</v>
      </c>
      <c r="D15" t="s">
        <v>31</v>
      </c>
    </row>
    <row r="16" spans="1:9" ht="15.75" thickBot="1" x14ac:dyDescent="0.25">
      <c r="A16" s="4" t="str">
        <f>D16&amp;"-"&amp;B16</f>
        <v>Moderado-Hotelarias</v>
      </c>
      <c r="B16" s="4" t="s">
        <v>26</v>
      </c>
      <c r="C16" s="5">
        <v>0.1</v>
      </c>
      <c r="D16" s="4" t="s">
        <v>31</v>
      </c>
    </row>
    <row r="17" spans="1:4" x14ac:dyDescent="0.2">
      <c r="A17" t="str">
        <f>D17&amp;"-"&amp;B17</f>
        <v>Agressivo-Papel</v>
      </c>
      <c r="B17" t="s">
        <v>21</v>
      </c>
      <c r="C17" s="3">
        <v>0.5</v>
      </c>
      <c r="D17" t="s">
        <v>32</v>
      </c>
    </row>
    <row r="18" spans="1:4" x14ac:dyDescent="0.2">
      <c r="A18" t="str">
        <f>D18&amp;"-"&amp;B18</f>
        <v>Agressivo-Tijolo</v>
      </c>
      <c r="B18" t="s">
        <v>22</v>
      </c>
      <c r="C18" s="3">
        <v>0.1</v>
      </c>
      <c r="D18" t="s">
        <v>32</v>
      </c>
    </row>
    <row r="19" spans="1:4" x14ac:dyDescent="0.2">
      <c r="A19" t="str">
        <f>D19&amp;"-"&amp;B19</f>
        <v>Agressivo-Híbridos</v>
      </c>
      <c r="B19" t="s">
        <v>23</v>
      </c>
      <c r="C19" s="3">
        <v>0.05</v>
      </c>
      <c r="D19" t="s">
        <v>32</v>
      </c>
    </row>
    <row r="20" spans="1:4" x14ac:dyDescent="0.2">
      <c r="A20" t="str">
        <f>D20&amp;"-"&amp;B20</f>
        <v>Agressivo-FOFs</v>
      </c>
      <c r="B20" t="s">
        <v>24</v>
      </c>
      <c r="C20" s="3">
        <v>0.05</v>
      </c>
      <c r="D20" t="s">
        <v>32</v>
      </c>
    </row>
    <row r="21" spans="1:4" x14ac:dyDescent="0.2">
      <c r="A21" t="str">
        <f>D21&amp;"-"&amp;B21</f>
        <v>Agressivo-Desenvolvimento</v>
      </c>
      <c r="B21" t="s">
        <v>25</v>
      </c>
      <c r="C21" s="3">
        <v>0.2</v>
      </c>
      <c r="D21" t="s">
        <v>32</v>
      </c>
    </row>
    <row r="22" spans="1:4" x14ac:dyDescent="0.2">
      <c r="A22" t="str">
        <f>D22&amp;"-"&amp;B22</f>
        <v>Agressivo-Hotelarias</v>
      </c>
      <c r="B22" t="s">
        <v>26</v>
      </c>
      <c r="C22" s="3">
        <v>0.1</v>
      </c>
      <c r="D22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Invest</vt:lpstr>
      <vt:lpstr>Base</vt:lpstr>
      <vt:lpstr>Aporte</vt:lpstr>
      <vt:lpstr>Patrimonio</vt:lpstr>
      <vt:lpstr>quant_anos</vt:lpstr>
      <vt:lpstr>Rendimento_carteira</vt:lpstr>
      <vt:lpstr>Salário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Flávia Ranyere Araújo Santos</dc:creator>
  <cp:lastModifiedBy>Flávia Ranyere Araújo Santos</cp:lastModifiedBy>
  <dcterms:created xsi:type="dcterms:W3CDTF">2026-01-26T23:21:03Z</dcterms:created>
  <dcterms:modified xsi:type="dcterms:W3CDTF">2026-01-28T01:00:28Z</dcterms:modified>
</cp:coreProperties>
</file>